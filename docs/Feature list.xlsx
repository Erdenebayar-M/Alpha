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P_Фичерүүд" sheetId="1" r:id="rId4"/>
    <sheet state="visible" name="Эрэмбэ_Замнал" sheetId="2" r:id="rId5"/>
    <sheet state="visible" name="Хөгжүүлэлтийн_Дараалал" sheetId="3" r:id="rId6"/>
    <sheet state="visible" name="НэрТомьёо" sheetId="4" r:id="rId7"/>
  </sheets>
  <definedNames/>
  <calcPr/>
  <extLst>
    <ext uri="GoogleSheetsCustomDataVersion2">
      <go:sheetsCustomData xmlns:go="http://customooxmlschemas.google.com/" r:id="rId8" roundtripDataChecksum="b0NsPDNqAMzfOsWf0+b9vzdkfjA7h2luRTF3h4DBpnQ="/>
    </ext>
  </extLst>
</workbook>
</file>

<file path=xl/sharedStrings.xml><?xml version="1.0" encoding="utf-8"?>
<sst xmlns="http://schemas.openxmlformats.org/spreadsheetml/2006/main" count="375" uniqueCount="248">
  <si>
    <t>Зөв бичих апп – MVP фичерүүдийн жагсаалт</t>
  </si>
  <si>
    <t>Хамгийн сүүлийн ажлын хүрээ: эцэг эх нь 1–2-р ангийн хүүхдийн цээж бичиг, зөв бичих чадварыг богино өдөр тутмын давтлагаар сайжруулахад туслахад төвлөрсөн. Цаашдаа 2-4р анги болгон өргөжүүлэх боломжтой</t>
  </si>
  <si>
    <t>Модуль</t>
  </si>
  <si>
    <t>Фичер ID</t>
  </si>
  <si>
    <t>Фичер</t>
  </si>
  <si>
    <t>Тайлбар</t>
  </si>
  <si>
    <t>Үндсэн хэрэглэгч</t>
  </si>
  <si>
    <t>Эрэмбэ</t>
  </si>
  <si>
    <t>MVP хүрээ</t>
  </si>
  <si>
    <t>Тэмдэглэл</t>
  </si>
  <si>
    <t>Онбординг ба тохиргоо</t>
  </si>
  <si>
    <t>ONB-01</t>
  </si>
  <si>
    <t>Эцэг эхийн онбординг</t>
  </si>
  <si>
    <t>Хүүхдийн ангийн түвшин сонгох, эхний үнэлгээг эхлүүлэх, сургалтын зорилго сонгох.</t>
  </si>
  <si>
    <t>Эцэг эх</t>
  </si>
  <si>
    <t>Must have</t>
  </si>
  <si>
    <t>In Scope</t>
  </si>
  <si>
    <t>Анхны хэрэглээний урсгалыг бүрдүүлнэ.</t>
  </si>
  <si>
    <t>ONB-02</t>
  </si>
  <si>
    <t>Хүүхдийн профайл</t>
  </si>
  <si>
    <t>Хүүхдийн нэр, анги, түвшин, ахицын түүхийг хадгална.</t>
  </si>
  <si>
    <t>Энгийн олон хүүхдийн дэмжлэг байж болно.</t>
  </si>
  <si>
    <t>Оношилгоо</t>
  </si>
  <si>
    <t>DIA-01</t>
  </si>
  <si>
    <t>Эхний оношлох үнэлгээ</t>
  </si>
  <si>
    <t>Нас, ангид тохирсон богино даалгавраар бичих болон цээж бичгийн суурь чадварыг тодорхойлох.</t>
  </si>
  <si>
    <t>Эцэг эх+Хүүхэд</t>
  </si>
  <si>
    <t>Урт биш байлгаж завсардаж гарах эрсдэлийг бууруулна.</t>
  </si>
  <si>
    <t>DIA-02</t>
  </si>
  <si>
    <t>Алдааны ангилал</t>
  </si>
  <si>
    <t>Алдааг ангилна: авиа/үсэг андуурах, урт богино эгшиг, гийгүүлэгчийн зөв бичлэг, хэсэг дутуу/илүү бичих, анхаарал/ой тогтоолт, сонсголын ялгалт.</t>
  </si>
  <si>
    <t>Хувьчилсан сургалтын гол логик.</t>
  </si>
  <si>
    <t>DIA-03</t>
  </si>
  <si>
    <t>Эхний алхмын зөвлөмж</t>
  </si>
  <si>
    <t>Гол сул талуудыг харуулж, анхны давтлагын төлөвлөгөөг үүсгэнэ.</t>
  </si>
  <si>
    <t>Оношилгооны гол гаралт.</t>
  </si>
  <si>
    <t>Өдөр тутмын төлөвлөгөө</t>
  </si>
  <si>
    <t>PLAN-01</t>
  </si>
  <si>
    <t>Өдөр тутмын төлөвлөгөө үүсгэгч</t>
  </si>
  <si>
    <t>Түвшин болон алдааны төрлөөс хамаарч богино өдөр тутмын дарааллыг автоматаар бүрдүүлнэ.</t>
  </si>
  <si>
    <t>Систем</t>
  </si>
  <si>
    <t>Бүтээгдэхүүний гол үнэ цэнэ.</t>
  </si>
  <si>
    <t>PLAN-02</t>
  </si>
  <si>
    <t>Жижиг алхамт хичээлийн урсгал</t>
  </si>
  <si>
    <t>Халаалт → үндсэн даалгавар → цээж бичиг → давтлага → хурдан шалгалт.</t>
  </si>
  <si>
    <t>Хүүхэд</t>
  </si>
  <si>
    <t>5–10 минутын сэшнд зориулсан.</t>
  </si>
  <si>
    <t>PLAN-03</t>
  </si>
  <si>
    <t>Дасан зохицох ахиц</t>
  </si>
  <si>
    <t>Хүндрэлийг аажмаар өсгөж, олон давтагдсан алдааны дараа сул чадвар руу буцаан чиглүүлнэ.</t>
  </si>
  <si>
    <t>Зөвхөн хөнгөн хувилбарын adaptive логик.</t>
  </si>
  <si>
    <t>Хичээл ба даалгаврын систем</t>
  </si>
  <si>
    <t>LTS-01</t>
  </si>
  <si>
    <t>Хичээлийн нэгж</t>
  </si>
  <si>
    <t>Нэг тодорхой чадварт төвлөрсөн богино хичээл.</t>
  </si>
  <si>
    <t>Жишээ: урт богино эгшиг, төстэй авиаг ялгах.</t>
  </si>
  <si>
    <t>LTS-02</t>
  </si>
  <si>
    <t>Даалгаврын нэгж</t>
  </si>
  <si>
    <t>Хичээлийн доторх жижиг үйлдлүүд: үсэг сонгох, үг нөхөх, сонсоод бичих, хуулж бичих, алдаа засах.</t>
  </si>
  <si>
    <t>Дахин ашиглах боломжтой суурь блок.</t>
  </si>
  <si>
    <t>LTS-03</t>
  </si>
  <si>
    <t>Даалгаврын банк</t>
  </si>
  <si>
    <t>Даалгавруудыг чадвар, төвөгшил, анги, алдааны төрлөөр шошголно.</t>
  </si>
  <si>
    <t>Контент баг</t>
  </si>
  <si>
    <t>Төлөвлөгөө үүсгэгчийн логикийг тэжээнэ.</t>
  </si>
  <si>
    <t>Үндсэн дасгалууд</t>
  </si>
  <si>
    <t>ACT-01</t>
  </si>
  <si>
    <t>Сонсоод бичих цээж бичиг</t>
  </si>
  <si>
    <t>Аудио тоглуулж, хүүхдээр богино үг/өгүүлбэр бичүүлнэ.</t>
  </si>
  <si>
    <t>Суралцах гол механикын нэг.</t>
  </si>
  <si>
    <t>ACT-02</t>
  </si>
  <si>
    <t>Харж бичих / хуулж бичих</t>
  </si>
  <si>
    <t>Зөв жишээг хараад бичих.</t>
  </si>
  <si>
    <t>Бага ангийн хүүхдэд тохиромжтой.</t>
  </si>
  <si>
    <t>ACT-03</t>
  </si>
  <si>
    <t>Үгийг засах</t>
  </si>
  <si>
    <t>Буруу бичсэн үгийг олж засах.</t>
  </si>
  <si>
    <t>Зөв бичгийн анхаарлыг хөгжүүлнэ.</t>
  </si>
  <si>
    <t>ACT-04</t>
  </si>
  <si>
    <t>Үсэг/үе/үг ялгах</t>
  </si>
  <si>
    <t>Сонсох, харах, сонгох/бичихийг хослуулсан дасгалууд.</t>
  </si>
  <si>
    <t>Ялангуяа 1–2-р ангид үнэ цэнтэй.</t>
  </si>
  <si>
    <t>ACT-05</t>
  </si>
  <si>
    <t>Давтлагын дасгал</t>
  </si>
  <si>
    <t>Өмнөх алдаанд суурилсан давтлага.</t>
  </si>
  <si>
    <t>Тогтоолтыг дэмжинэ.</t>
  </si>
  <si>
    <t>Үнэлгээ ба фийдбэк</t>
  </si>
  <si>
    <t>FBK-01</t>
  </si>
  <si>
    <t>Шууд фийдбэк</t>
  </si>
  <si>
    <t>Даалгавар бүрийн дараа зөв/буруу гэсэн ойлгомжтой хариу үзүүлэх.</t>
  </si>
  <si>
    <t>Энгийн, айдас төрүүлэхгүй өнгө аяс хэрэгтэй.</t>
  </si>
  <si>
    <t>FBK-02</t>
  </si>
  <si>
    <t>Алдааны тайлбар</t>
  </si>
  <si>
    <t>Яагаад буруу болсон талаар богино тайлбар, эцэг эхэд илүү ойлгомжтой зөвлөгөөтэй.</t>
  </si>
  <si>
    <t>Суралцах чанарыг нэмэгдүүлнэ.</t>
  </si>
  <si>
    <t>FBK-03</t>
  </si>
  <si>
    <t>Сэшний хураангуй</t>
  </si>
  <si>
    <t>Өнөөдрийн хийсэн даалгавар, зөв хариултын хувь, гол алдаа, дараагийн анхаарах зүйлийг харуулна.</t>
  </si>
  <si>
    <t>Өдөр тутмын хяналтыг хялбар болгоно.</t>
  </si>
  <si>
    <t>Эцэг эхийн чиглүүлэг</t>
  </si>
  <si>
    <t>PAR-01</t>
  </si>
  <si>
    <t>Сэшнээс өмнөх заавар</t>
  </si>
  <si>
    <t>Дасгал эхлэхээс өмнө юу хийх, хэрхэн тайлбарлах, хэдэн минут үргэлжлэхийг заана.</t>
  </si>
  <si>
    <t>“Хүүхдэд ингэж хэлээрэй” маягийн prompt өгч болно.</t>
  </si>
  <si>
    <t>PAR-02</t>
  </si>
  <si>
    <t>Сэшний үеийн коучинг</t>
  </si>
  <si>
    <t>Хүүхэд гацах, бухимдах үед хэрхэн чиглүүлэхийг заана.</t>
  </si>
  <si>
    <t>Хариуг шууд хэлэхгүйгээр туслахад зориулагдсан.</t>
  </si>
  <si>
    <t>PAR-03</t>
  </si>
  <si>
    <t>Дараагийн алхмын санал</t>
  </si>
  <si>
    <t>Одоо аль чадвар сул байгааг хэлж, ойрын өдрүүдийн давтлагын чиглэл санал болгоно.</t>
  </si>
  <si>
    <t>Аппын ялгарах гол давхарга.</t>
  </si>
  <si>
    <t>Ахиц хяналт</t>
  </si>
  <si>
    <t>PRO-01</t>
  </si>
  <si>
    <t>Ахицын самбар</t>
  </si>
  <si>
    <t>Өдөр/7 хоногоор хийсэн давтлага, зөв хариултын хувь, сайжирч буй чадварыг харуулна.</t>
  </si>
  <si>
    <t>Энгийн боловч ойлгомжтой харагдах ёстой.</t>
  </si>
  <si>
    <t>PRO-02</t>
  </si>
  <si>
    <t>Алдааны тренд</t>
  </si>
  <si>
    <t>Ямар төрлийн алдаа багасч, аль нь тогтмол давтагдаж байгааг харуулна.</t>
  </si>
  <si>
    <t>Оношилгоо ба давтлагыг холбоно.</t>
  </si>
  <si>
    <t>PRO-03</t>
  </si>
  <si>
    <t>Төлөвлөгөөний биелэлт</t>
  </si>
  <si>
    <t>Өдөр тутмын даалгавар биелсэн эсэх, streak буюу тогтмол байдлыг харуулна.</t>
  </si>
  <si>
    <t>Зуршил тогтоох гол индикатор.</t>
  </si>
  <si>
    <t>Идэвхжүүлэлт ба UX</t>
  </si>
  <si>
    <t>ENG-01</t>
  </si>
  <si>
    <t>Хүүхдийн урамшуулал</t>
  </si>
  <si>
    <t>Од, тэмдэг, жижиг achievement-ээр эерэг мэдрэмж өгнө.</t>
  </si>
  <si>
    <t>Should have</t>
  </si>
  <si>
    <t>Хялбаршуулсан</t>
  </si>
  <si>
    <t>Хэт тоглоомчлохгүй.</t>
  </si>
  <si>
    <t>ENG-02</t>
  </si>
  <si>
    <t>Тайван, хүүхдэд ээлтэй UI</t>
  </si>
  <si>
    <t>Хэт тоглоом шиг биш, шалгалт шиг ч биш, аюулгүй дулаан мэдрэмжтэй интерфэйс.</t>
  </si>
  <si>
    <t>Эцэг эхийн стрессийг ч бууруулна.</t>
  </si>
  <si>
    <t>ENG-03</t>
  </si>
  <si>
    <t>Богино сэшний дизайн</t>
  </si>
  <si>
    <t>5–10 минутын дотор дуусах урсгал, эцэг эх хүүхдийг ядраахгүй.</t>
  </si>
  <si>
    <t>MVP-ийн ашиглалтын бодит нөхцөлд тааруулсан.</t>
  </si>
  <si>
    <t>Контент удирдлага</t>
  </si>
  <si>
    <t>CMS-01</t>
  </si>
  <si>
    <t>Суурь контент оруулах боломж</t>
  </si>
  <si>
    <t>Хичээл, даалгавар, үгсийн сан, аудио, зураг, зөв хариу, тайлбарыг оруулах.</t>
  </si>
  <si>
    <t>Бүрэн админ систем биш, суурь хэрэгцээ.</t>
  </si>
  <si>
    <t>CMS-02</t>
  </si>
  <si>
    <t>Даалгаврын банк удирдах</t>
  </si>
  <si>
    <t>Чадвар, төвөгшил, алдааны төрөл зэргээр ангилж шинэчлэх.</t>
  </si>
  <si>
    <t>Контентын чанарыг тогтвортой байлгах үндэс.</t>
  </si>
  <si>
    <t>CMS-03</t>
  </si>
  <si>
    <t>Metadata холболт</t>
  </si>
  <si>
    <t>Нас/анги, чадвар, prerequisite, expected outcome зэрэг талбаруудтай байх.</t>
  </si>
  <si>
    <t>Систем+Контент баг</t>
  </si>
  <si>
    <t>Төлөвлөгөө үүсгэгчтэй холбоход шаардлагатай.</t>
  </si>
  <si>
    <t>MVP-ээс хойших боломжууд</t>
  </si>
  <si>
    <t>LATER-01</t>
  </si>
  <si>
    <t>Гар бичмэл таних AI</t>
  </si>
  <si>
    <t>Гараар бичсэнийг AI-р уншиж үнэлэх.</t>
  </si>
  <si>
    <t>Nice to have</t>
  </si>
  <si>
    <t>Out of Scope</t>
  </si>
  <si>
    <t>MVP-д хэт том эрсдэлтэй.</t>
  </si>
  <si>
    <t>LATER-02</t>
  </si>
  <si>
    <t>Камераар дэвтэр унших</t>
  </si>
  <si>
    <t>Дэвтрийн зураг авч алдаа илрүүлэх.</t>
  </si>
  <si>
    <t>Техникийн хувьд дараагийн шатанд.</t>
  </si>
  <si>
    <t>LATER-03</t>
  </si>
  <si>
    <t>Сургууль/B2B горим, community</t>
  </si>
  <si>
    <t>Сургуульд зориулсан удирдлага, багш, community болон marketplace боломжууд.</t>
  </si>
  <si>
    <t>Систем + Байгууллага</t>
  </si>
  <si>
    <t>Эхний хэрэглэгчийн баталгаажуулалтын дараа.</t>
  </si>
  <si>
    <t>MVP эрэмбийн замнал</t>
  </si>
  <si>
    <t>Тоо ширхэгүүд нь spreadsheet formula ашигладаг тул дараа нь автоматаар шинэчлэгдэх боломжтой.</t>
  </si>
  <si>
    <t>Эрэмбийн бүлэг</t>
  </si>
  <si>
    <t>Зорилго</t>
  </si>
  <si>
    <t>Төлөөлөх фичерүүд</t>
  </si>
  <si>
    <t>Тоо</t>
  </si>
  <si>
    <t>Нийтэд эзлэх %</t>
  </si>
  <si>
    <t>Зөвлөмж</t>
  </si>
  <si>
    <t>Launch хийхэд хэрэгтэй үндсэн MVP</t>
  </si>
  <si>
    <t>Онбординг, оношилгоо, төлөвлөгөө үүсгэгч, хичээл/даалгавар, үндсэн дасгал, эцэг эхийн чиглүүлэг, ахиц хяналт, суурь CMS</t>
  </si>
  <si>
    <t>Эхэлж бүтээ</t>
  </si>
  <si>
    <t>Цаг боломж байвал хялбаршуулж оруулж болно</t>
  </si>
  <si>
    <t>Урамшуулал, илүү баялаг визуал, нэмэлт идэвхжүүлэлт</t>
  </si>
  <si>
    <t>Гол урсгал тогтворжсоны дараа</t>
  </si>
  <si>
    <t>MVP-ээс тодорхой хассан зүйлс</t>
  </si>
  <si>
    <t>Гар бичмэл AI, камераар оруулах, school mode, marketplace/community</t>
  </si>
  <si>
    <t>Post-MVP roadmap руу шилжүүл</t>
  </si>
  <si>
    <t>Оруулсан хүрээний хураангуй</t>
  </si>
  <si>
    <t>Хүрээний төлөв</t>
  </si>
  <si>
    <t>Тодорхойлолт</t>
  </si>
  <si>
    <t>Оруулсан</t>
  </si>
  <si>
    <t>MVP launch-д байх ёстой фичерүүд</t>
  </si>
  <si>
    <t>Хөнгөн хэрэгжилтээр орж болох фичерүүд</t>
  </si>
  <si>
    <t>Хассан</t>
  </si>
  <si>
    <t>MVP-ээс зориуд хойшлуулсан фичерүүд</t>
  </si>
  <si>
    <t>Санал болгож буй хөгжүүлэлтийн дараалал</t>
  </si>
  <si>
    <t>Бүтээгдэхүүн / дизайн / инженерингийн төлөвлөлтөд санал болгосон эрэмбэ.</t>
  </si>
  <si>
    <t>Үе шат</t>
  </si>
  <si>
    <t>Фокус</t>
  </si>
  <si>
    <t>Яагаад эхэлж хийх вэ</t>
  </si>
  <si>
    <t>Гол фичерүүд</t>
  </si>
  <si>
    <t>Хамаарал</t>
  </si>
  <si>
    <t>Гарах үр дүн</t>
  </si>
  <si>
    <t>Суурь</t>
  </si>
  <si>
    <t>Хувьчилсан логик руу орохоос өмнө хэрэглэгчийн тохиргоо ба контентын бүтэц хэрэгтэй.</t>
  </si>
  <si>
    <t>Эцэг эхийн онбординг, хүүхдийн профайл, суурь контент оруулах, metadata шошгололт</t>
  </si>
  <si>
    <t>Байхгүй</t>
  </si>
  <si>
    <t>Ашиглаж болох өгөгдлийн загвар + контентын схем</t>
  </si>
  <si>
    <t>Төлөвлөгөө үүсгэхээс өмнө суурь чадварын мэдээлэл хэрэгтэй.</t>
  </si>
  <si>
    <t>Эхний оношлох үнэлгээ, алдааны ангилал, эхний алхмын зөвлөмж</t>
  </si>
  <si>
    <t>1-р үе шат</t>
  </si>
  <si>
    <t>Үнэлгээний урсгал + онооны дүрэм</t>
  </si>
  <si>
    <t>Суралцах хөдөлгүүр</t>
  </si>
  <si>
    <t>Өдөр бүрийн үнэ цэнийг бий болгодог бүтээгдэхүүний үндсэн loop.</t>
  </si>
  <si>
    <t>Өдөр тутмын төлөвлөгөө үүсгэгч, хичээлийн нэгж, даалгаврын нэгж, даалгаврын банк</t>
  </si>
  <si>
    <t>1–2-р үе шат</t>
  </si>
  <si>
    <t>Тоглож болох өдөр тутмын хичээлийн урсгал</t>
  </si>
  <si>
    <t>Дасгалын туршлага</t>
  </si>
  <si>
    <t>Хүүхдэд бодит үр дүн өгөх гол үйл ажиллагаанууд.</t>
  </si>
  <si>
    <t>Цээж бичиг, харж/хуулж бичих, засварлах, ялгах дасгал, давтлага</t>
  </si>
  <si>
    <t>3-р үе шат</t>
  </si>
  <si>
    <t>Бүрэн сургалтын сэшн</t>
  </si>
  <si>
    <t>Эцэг эхийн давхарга</t>
  </si>
  <si>
    <t>Ердийн literacy app-аас ялгарах гол онцлог.</t>
  </si>
  <si>
    <t>Сэшнээс өмнөх коучинг, сэшний үеийн prompt, дараагийн алхмын зөвлөмж, сэшний хураангуй</t>
  </si>
  <si>
    <t>2–4-р үе шат</t>
  </si>
  <si>
    <t>Эцэг эхийн чиглүүлгийн UX</t>
  </si>
  <si>
    <t>Хяналт ба өнгөлгөө</t>
  </si>
  <si>
    <t>Retention дэмжиж, ахицыг баталгаажуулна.</t>
  </si>
  <si>
    <t>Ахицын самбар, алдааны тренд, streak, тайван UI, энгийн урамшуулал</t>
  </si>
  <si>
    <t>1–5-р үе шат</t>
  </si>
  <si>
    <t>Launch-д бэлэн MVP өнгөлгөө</t>
  </si>
  <si>
    <t>Заавал / Байвал сайн</t>
  </si>
  <si>
    <t>Post-MVP туршилт</t>
  </si>
  <si>
    <t>Баталгаажуулалтын дараах илүү төвөгтэй боломжууд.</t>
  </si>
  <si>
    <t>Гар бичмэл AI, камерын анализ, school mode</t>
  </si>
  <si>
    <t>Өмнөх бүх үе шат</t>
  </si>
  <si>
    <t>Roadmap туршилтууд</t>
  </si>
  <si>
    <t>Томьёо</t>
  </si>
  <si>
    <t>Утга</t>
  </si>
  <si>
    <t>Хичээл</t>
  </si>
  <si>
    <t>Нэг чадварт төвлөрсөн богино заах нэгж.</t>
  </si>
  <si>
    <t>Даалгавар</t>
  </si>
  <si>
    <t>Хичээлийн доторх жижиг үйл ажиллагаа.</t>
  </si>
  <si>
    <t>Алдааны төрлүүдийг ангилах систем.</t>
  </si>
  <si>
    <t>Хүүхдэд тохирох богино давтлагын урсгалыг сонгодог логик.</t>
  </si>
  <si>
    <t>MVP</t>
  </si>
  <si>
    <t>Minimum viable product – хамгийн бага хүрээнд launch хийж болох хувилбар.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</si>
</sst>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14.0"/>
      <color rgb="FF1F4E78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0.0"/>
      <color theme="1"/>
      <name val="Calibri"/>
    </font>
    <font>
      <b/>
      <sz val="12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D9F0F0"/>
        <bgColor rgb="FFD9F0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7">
    <border/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left" vertical="top"/>
    </xf>
    <xf borderId="2" fillId="0" fontId="5" numFmtId="0" xfId="0" applyAlignment="1" applyBorder="1" applyFont="1">
      <alignment horizontal="left" shrinkToFit="0" vertical="top" wrapText="1"/>
    </xf>
    <xf borderId="3" fillId="3" fontId="5" numFmtId="0" xfId="0" applyAlignment="1" applyBorder="1" applyFill="1" applyFont="1">
      <alignment horizontal="left" readingOrder="0" shrinkToFit="0" vertical="top" wrapText="1"/>
    </xf>
    <xf borderId="3" fillId="4" fontId="5" numFmtId="0" xfId="0" applyAlignment="1" applyBorder="1" applyFill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3" fillId="5" fontId="5" numFmtId="0" xfId="0" applyAlignment="1" applyBorder="1" applyFill="1" applyFont="1">
      <alignment horizontal="left" readingOrder="0" shrinkToFit="0" vertical="top" wrapText="1"/>
    </xf>
    <xf borderId="3" fillId="6" fontId="5" numFmtId="0" xfId="0" applyAlignment="1" applyBorder="1" applyFill="1" applyFont="1">
      <alignment horizontal="left" shrinkToFit="0" vertical="top" wrapText="1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4" fillId="2" fontId="6" numFmtId="0" xfId="0" applyBorder="1" applyFont="1"/>
    <xf borderId="5" fillId="0" fontId="7" numFmtId="0" xfId="0" applyBorder="1" applyFont="1"/>
    <xf borderId="6" fillId="0" fontId="7" numFmtId="0" xfId="0" applyBorder="1" applyFont="1"/>
    <xf borderId="1" fillId="7" fontId="8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left" shrinkToFit="0" vertical="top" wrapText="1"/>
    </xf>
    <xf borderId="3" fillId="3" fontId="5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1">
    <tableStyle count="3" pivot="0" name="MVP_Фичерүүд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I37" displayName="Table_1" name="Table_1" id="1">
  <tableColumns count="8">
    <tableColumn name="Модуль" id="1"/>
    <tableColumn name="Фичер ID" id="2"/>
    <tableColumn name="Фичер" id="3"/>
    <tableColumn name="Тайлбар" id="4"/>
    <tableColumn name="Үндсэн хэрэглэгч" id="5"/>
    <tableColumn name="Эрэмбэ" id="6"/>
    <tableColumn name="MVP хүрээ" id="7"/>
    <tableColumn name="Тэмдэглэл" id="8"/>
  </tableColumns>
  <tableStyleInfo name="MVP_Фичерүүд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2.14"/>
    <col customWidth="1" min="3" max="3" width="12.43"/>
    <col customWidth="1" min="4" max="4" width="24.0"/>
    <col customWidth="1" min="5" max="5" width="46.0"/>
    <col customWidth="1" min="6" max="6" width="23.57"/>
    <col customWidth="1" min="7" max="7" width="23.0"/>
    <col customWidth="1" min="8" max="8" width="18.86"/>
    <col customWidth="1" min="9" max="9" width="43.29"/>
    <col customWidth="1" min="10" max="26" width="8.71"/>
  </cols>
  <sheetData>
    <row r="1" ht="25.5" customHeight="1">
      <c r="B1" s="1" t="s">
        <v>0</v>
      </c>
    </row>
    <row r="2" ht="33.75" customHeight="1">
      <c r="B2" s="2" t="s">
        <v>1</v>
      </c>
    </row>
    <row r="3" ht="24.0" customHeight="1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24.0" customHeight="1">
      <c r="A4" s="4">
        <v>1.0</v>
      </c>
      <c r="B4" s="5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7" t="s">
        <v>15</v>
      </c>
      <c r="H4" s="8" t="s">
        <v>16</v>
      </c>
      <c r="I4" s="6" t="s">
        <v>17</v>
      </c>
    </row>
    <row r="5" ht="24.0" customHeight="1">
      <c r="A5" s="4">
        <v>2.0</v>
      </c>
      <c r="B5" s="5" t="s">
        <v>10</v>
      </c>
      <c r="C5" s="6" t="s">
        <v>18</v>
      </c>
      <c r="D5" s="6" t="s">
        <v>19</v>
      </c>
      <c r="E5" s="6" t="s">
        <v>20</v>
      </c>
      <c r="F5" s="6" t="s">
        <v>14</v>
      </c>
      <c r="G5" s="7" t="s">
        <v>15</v>
      </c>
      <c r="H5" s="8" t="s">
        <v>16</v>
      </c>
      <c r="I5" s="6" t="s">
        <v>21</v>
      </c>
    </row>
    <row r="6" ht="24.0" customHeight="1">
      <c r="A6" s="4">
        <v>3.0</v>
      </c>
      <c r="B6" s="6" t="s">
        <v>22</v>
      </c>
      <c r="C6" s="6" t="s">
        <v>23</v>
      </c>
      <c r="D6" s="6" t="s">
        <v>24</v>
      </c>
      <c r="E6" s="6" t="s">
        <v>25</v>
      </c>
      <c r="F6" s="9" t="s">
        <v>26</v>
      </c>
      <c r="G6" s="7" t="s">
        <v>15</v>
      </c>
      <c r="H6" s="8" t="s">
        <v>16</v>
      </c>
      <c r="I6" s="6" t="s">
        <v>27</v>
      </c>
    </row>
    <row r="7" ht="24.0" customHeight="1">
      <c r="A7" s="4">
        <v>4.0</v>
      </c>
      <c r="B7" s="6" t="s">
        <v>22</v>
      </c>
      <c r="C7" s="6" t="s">
        <v>28</v>
      </c>
      <c r="D7" s="6" t="s">
        <v>29</v>
      </c>
      <c r="E7" s="6" t="s">
        <v>30</v>
      </c>
      <c r="F7" s="10" t="s">
        <v>15</v>
      </c>
      <c r="G7" s="7" t="s">
        <v>15</v>
      </c>
      <c r="H7" s="8" t="s">
        <v>16</v>
      </c>
      <c r="I7" s="6" t="s">
        <v>31</v>
      </c>
    </row>
    <row r="8" ht="24.0" customHeight="1">
      <c r="A8" s="4">
        <v>5.0</v>
      </c>
      <c r="B8" s="6" t="s">
        <v>22</v>
      </c>
      <c r="C8" s="6" t="s">
        <v>32</v>
      </c>
      <c r="D8" s="6" t="s">
        <v>33</v>
      </c>
      <c r="E8" s="6" t="s">
        <v>34</v>
      </c>
      <c r="F8" s="6" t="s">
        <v>14</v>
      </c>
      <c r="G8" s="7" t="s">
        <v>15</v>
      </c>
      <c r="H8" s="8" t="s">
        <v>16</v>
      </c>
      <c r="I8" s="6" t="s">
        <v>35</v>
      </c>
    </row>
    <row r="9" ht="24.0" customHeight="1">
      <c r="A9" s="4">
        <v>6.0</v>
      </c>
      <c r="B9" s="6" t="s">
        <v>36</v>
      </c>
      <c r="C9" s="6" t="s">
        <v>37</v>
      </c>
      <c r="D9" s="6" t="s">
        <v>38</v>
      </c>
      <c r="E9" s="6" t="s">
        <v>39</v>
      </c>
      <c r="F9" s="9" t="s">
        <v>40</v>
      </c>
      <c r="G9" s="7" t="s">
        <v>15</v>
      </c>
      <c r="H9" s="8" t="s">
        <v>16</v>
      </c>
      <c r="I9" s="6" t="s">
        <v>41</v>
      </c>
    </row>
    <row r="10" ht="24.0" customHeight="1">
      <c r="A10" s="4">
        <v>7.0</v>
      </c>
      <c r="B10" s="6" t="s">
        <v>36</v>
      </c>
      <c r="C10" s="6" t="s">
        <v>42</v>
      </c>
      <c r="D10" s="6" t="s">
        <v>43</v>
      </c>
      <c r="E10" s="6" t="s">
        <v>44</v>
      </c>
      <c r="F10" s="9" t="s">
        <v>45</v>
      </c>
      <c r="G10" s="7" t="s">
        <v>15</v>
      </c>
      <c r="H10" s="8" t="s">
        <v>16</v>
      </c>
      <c r="I10" s="6" t="s">
        <v>46</v>
      </c>
    </row>
    <row r="11" ht="24.0" customHeight="1">
      <c r="A11" s="4">
        <v>8.0</v>
      </c>
      <c r="B11" s="6" t="s">
        <v>36</v>
      </c>
      <c r="C11" s="6" t="s">
        <v>47</v>
      </c>
      <c r="D11" s="6" t="s">
        <v>48</v>
      </c>
      <c r="E11" s="6" t="s">
        <v>49</v>
      </c>
      <c r="F11" s="9" t="s">
        <v>40</v>
      </c>
      <c r="G11" s="7" t="s">
        <v>15</v>
      </c>
      <c r="H11" s="8" t="s">
        <v>16</v>
      </c>
      <c r="I11" s="6" t="s">
        <v>50</v>
      </c>
    </row>
    <row r="12" ht="24.0" customHeight="1">
      <c r="A12" s="4">
        <v>9.0</v>
      </c>
      <c r="B12" s="6" t="s">
        <v>51</v>
      </c>
      <c r="C12" s="6" t="s">
        <v>52</v>
      </c>
      <c r="D12" s="6" t="s">
        <v>53</v>
      </c>
      <c r="E12" s="6" t="s">
        <v>54</v>
      </c>
      <c r="F12" s="9" t="s">
        <v>45</v>
      </c>
      <c r="G12" s="7" t="s">
        <v>15</v>
      </c>
      <c r="H12" s="8" t="s">
        <v>16</v>
      </c>
      <c r="I12" s="6" t="s">
        <v>55</v>
      </c>
    </row>
    <row r="13" ht="24.0" customHeight="1">
      <c r="A13" s="4">
        <v>10.0</v>
      </c>
      <c r="B13" s="6" t="s">
        <v>51</v>
      </c>
      <c r="C13" s="6" t="s">
        <v>56</v>
      </c>
      <c r="D13" s="6" t="s">
        <v>57</v>
      </c>
      <c r="E13" s="6" t="s">
        <v>58</v>
      </c>
      <c r="F13" s="9" t="s">
        <v>45</v>
      </c>
      <c r="G13" s="7" t="s">
        <v>15</v>
      </c>
      <c r="H13" s="8" t="s">
        <v>16</v>
      </c>
      <c r="I13" s="6" t="s">
        <v>59</v>
      </c>
    </row>
    <row r="14" ht="24.0" customHeight="1">
      <c r="A14" s="4">
        <v>11.0</v>
      </c>
      <c r="B14" s="6" t="s">
        <v>51</v>
      </c>
      <c r="C14" s="6" t="s">
        <v>60</v>
      </c>
      <c r="D14" s="6" t="s">
        <v>61</v>
      </c>
      <c r="E14" s="6" t="s">
        <v>62</v>
      </c>
      <c r="F14" s="9" t="s">
        <v>63</v>
      </c>
      <c r="G14" s="7" t="s">
        <v>15</v>
      </c>
      <c r="H14" s="8" t="s">
        <v>16</v>
      </c>
      <c r="I14" s="6" t="s">
        <v>64</v>
      </c>
    </row>
    <row r="15" ht="24.0" customHeight="1">
      <c r="A15" s="4">
        <v>12.0</v>
      </c>
      <c r="B15" s="6" t="s">
        <v>65</v>
      </c>
      <c r="C15" s="6" t="s">
        <v>66</v>
      </c>
      <c r="D15" s="6" t="s">
        <v>67</v>
      </c>
      <c r="E15" s="6" t="s">
        <v>68</v>
      </c>
      <c r="F15" s="9" t="s">
        <v>45</v>
      </c>
      <c r="G15" s="7" t="s">
        <v>15</v>
      </c>
      <c r="H15" s="8" t="s">
        <v>16</v>
      </c>
      <c r="I15" s="6" t="s">
        <v>69</v>
      </c>
    </row>
    <row r="16" ht="24.0" customHeight="1">
      <c r="A16" s="4">
        <v>13.0</v>
      </c>
      <c r="B16" s="6" t="s">
        <v>65</v>
      </c>
      <c r="C16" s="6" t="s">
        <v>70</v>
      </c>
      <c r="D16" s="6" t="s">
        <v>71</v>
      </c>
      <c r="E16" s="6" t="s">
        <v>72</v>
      </c>
      <c r="F16" s="9" t="s">
        <v>45</v>
      </c>
      <c r="G16" s="7" t="s">
        <v>15</v>
      </c>
      <c r="H16" s="8" t="s">
        <v>16</v>
      </c>
      <c r="I16" s="6" t="s">
        <v>73</v>
      </c>
    </row>
    <row r="17" ht="24.0" customHeight="1">
      <c r="A17" s="4">
        <v>14.0</v>
      </c>
      <c r="B17" s="6" t="s">
        <v>65</v>
      </c>
      <c r="C17" s="6" t="s">
        <v>74</v>
      </c>
      <c r="D17" s="6" t="s">
        <v>75</v>
      </c>
      <c r="E17" s="6" t="s">
        <v>76</v>
      </c>
      <c r="F17" s="9" t="s">
        <v>45</v>
      </c>
      <c r="G17" s="7" t="s">
        <v>15</v>
      </c>
      <c r="H17" s="8" t="s">
        <v>16</v>
      </c>
      <c r="I17" s="6" t="s">
        <v>77</v>
      </c>
    </row>
    <row r="18" ht="24.0" customHeight="1">
      <c r="A18" s="4">
        <v>15.0</v>
      </c>
      <c r="B18" s="6" t="s">
        <v>65</v>
      </c>
      <c r="C18" s="6" t="s">
        <v>78</v>
      </c>
      <c r="D18" s="6" t="s">
        <v>79</v>
      </c>
      <c r="E18" s="6" t="s">
        <v>80</v>
      </c>
      <c r="F18" s="9" t="s">
        <v>45</v>
      </c>
      <c r="G18" s="7" t="s">
        <v>15</v>
      </c>
      <c r="H18" s="8" t="s">
        <v>16</v>
      </c>
      <c r="I18" s="6" t="s">
        <v>81</v>
      </c>
    </row>
    <row r="19" ht="24.0" customHeight="1">
      <c r="A19" s="4">
        <v>16.0</v>
      </c>
      <c r="B19" s="6" t="s">
        <v>65</v>
      </c>
      <c r="C19" s="6" t="s">
        <v>82</v>
      </c>
      <c r="D19" s="6" t="s">
        <v>83</v>
      </c>
      <c r="E19" s="6" t="s">
        <v>84</v>
      </c>
      <c r="F19" s="9" t="s">
        <v>45</v>
      </c>
      <c r="G19" s="7" t="s">
        <v>15</v>
      </c>
      <c r="H19" s="8" t="s">
        <v>16</v>
      </c>
      <c r="I19" s="6" t="s">
        <v>85</v>
      </c>
    </row>
    <row r="20" ht="24.0" customHeight="1">
      <c r="A20" s="4">
        <v>17.0</v>
      </c>
      <c r="B20" s="6" t="s">
        <v>86</v>
      </c>
      <c r="C20" s="6" t="s">
        <v>87</v>
      </c>
      <c r="D20" s="6" t="s">
        <v>88</v>
      </c>
      <c r="E20" s="6" t="s">
        <v>89</v>
      </c>
      <c r="F20" s="9" t="s">
        <v>45</v>
      </c>
      <c r="G20" s="7" t="s">
        <v>15</v>
      </c>
      <c r="H20" s="8" t="s">
        <v>16</v>
      </c>
      <c r="I20" s="6" t="s">
        <v>90</v>
      </c>
    </row>
    <row r="21" ht="24.0" customHeight="1">
      <c r="A21" s="4">
        <v>18.0</v>
      </c>
      <c r="B21" s="6" t="s">
        <v>86</v>
      </c>
      <c r="C21" s="6" t="s">
        <v>91</v>
      </c>
      <c r="D21" s="6" t="s">
        <v>92</v>
      </c>
      <c r="E21" s="6" t="s">
        <v>93</v>
      </c>
      <c r="F21" s="9" t="s">
        <v>26</v>
      </c>
      <c r="G21" s="7" t="s">
        <v>15</v>
      </c>
      <c r="H21" s="8" t="s">
        <v>16</v>
      </c>
      <c r="I21" s="6" t="s">
        <v>94</v>
      </c>
    </row>
    <row r="22" ht="24.0" customHeight="1">
      <c r="A22" s="4">
        <v>19.0</v>
      </c>
      <c r="B22" s="6" t="s">
        <v>86</v>
      </c>
      <c r="C22" s="6" t="s">
        <v>95</v>
      </c>
      <c r="D22" s="6" t="s">
        <v>96</v>
      </c>
      <c r="E22" s="6" t="s">
        <v>97</v>
      </c>
      <c r="F22" s="6" t="s">
        <v>14</v>
      </c>
      <c r="G22" s="7" t="s">
        <v>15</v>
      </c>
      <c r="H22" s="8" t="s">
        <v>16</v>
      </c>
      <c r="I22" s="6" t="s">
        <v>98</v>
      </c>
    </row>
    <row r="23" ht="24.0" customHeight="1">
      <c r="A23" s="4">
        <v>20.0</v>
      </c>
      <c r="B23" s="6" t="s">
        <v>99</v>
      </c>
      <c r="C23" s="6" t="s">
        <v>100</v>
      </c>
      <c r="D23" s="6" t="s">
        <v>101</v>
      </c>
      <c r="E23" s="6" t="s">
        <v>102</v>
      </c>
      <c r="F23" s="6" t="s">
        <v>14</v>
      </c>
      <c r="G23" s="7" t="s">
        <v>15</v>
      </c>
      <c r="H23" s="8" t="s">
        <v>16</v>
      </c>
      <c r="I23" s="6" t="s">
        <v>103</v>
      </c>
    </row>
    <row r="24" ht="24.0" customHeight="1">
      <c r="A24" s="4">
        <v>21.0</v>
      </c>
      <c r="B24" s="6" t="s">
        <v>99</v>
      </c>
      <c r="C24" s="6" t="s">
        <v>104</v>
      </c>
      <c r="D24" s="6" t="s">
        <v>105</v>
      </c>
      <c r="E24" s="6" t="s">
        <v>106</v>
      </c>
      <c r="F24" s="6" t="s">
        <v>14</v>
      </c>
      <c r="G24" s="7" t="s">
        <v>15</v>
      </c>
      <c r="H24" s="8" t="s">
        <v>16</v>
      </c>
      <c r="I24" s="6" t="s">
        <v>107</v>
      </c>
    </row>
    <row r="25" ht="24.0" customHeight="1">
      <c r="A25" s="4">
        <v>22.0</v>
      </c>
      <c r="B25" s="6" t="s">
        <v>99</v>
      </c>
      <c r="C25" s="6" t="s">
        <v>108</v>
      </c>
      <c r="D25" s="6" t="s">
        <v>109</v>
      </c>
      <c r="E25" s="6" t="s">
        <v>110</v>
      </c>
      <c r="F25" s="6" t="s">
        <v>14</v>
      </c>
      <c r="G25" s="7" t="s">
        <v>15</v>
      </c>
      <c r="H25" s="8" t="s">
        <v>16</v>
      </c>
      <c r="I25" s="6" t="s">
        <v>111</v>
      </c>
    </row>
    <row r="26" ht="24.0" customHeight="1">
      <c r="A26" s="4">
        <v>23.0</v>
      </c>
      <c r="B26" s="6" t="s">
        <v>112</v>
      </c>
      <c r="C26" s="6" t="s">
        <v>113</v>
      </c>
      <c r="D26" s="6" t="s">
        <v>114</v>
      </c>
      <c r="E26" s="6" t="s">
        <v>115</v>
      </c>
      <c r="F26" s="6" t="s">
        <v>14</v>
      </c>
      <c r="G26" s="7" t="s">
        <v>15</v>
      </c>
      <c r="H26" s="8" t="s">
        <v>16</v>
      </c>
      <c r="I26" s="6" t="s">
        <v>116</v>
      </c>
    </row>
    <row r="27" ht="24.0" customHeight="1">
      <c r="A27" s="4">
        <v>24.0</v>
      </c>
      <c r="B27" s="6" t="s">
        <v>112</v>
      </c>
      <c r="C27" s="6" t="s">
        <v>117</v>
      </c>
      <c r="D27" s="6" t="s">
        <v>118</v>
      </c>
      <c r="E27" s="6" t="s">
        <v>119</v>
      </c>
      <c r="F27" s="6" t="s">
        <v>14</v>
      </c>
      <c r="G27" s="7" t="s">
        <v>15</v>
      </c>
      <c r="H27" s="8" t="s">
        <v>16</v>
      </c>
      <c r="I27" s="6" t="s">
        <v>120</v>
      </c>
    </row>
    <row r="28" ht="24.0" customHeight="1">
      <c r="A28" s="4">
        <v>25.0</v>
      </c>
      <c r="B28" s="6" t="s">
        <v>112</v>
      </c>
      <c r="C28" s="6" t="s">
        <v>121</v>
      </c>
      <c r="D28" s="6" t="s">
        <v>122</v>
      </c>
      <c r="E28" s="6" t="s">
        <v>123</v>
      </c>
      <c r="F28" s="6" t="s">
        <v>14</v>
      </c>
      <c r="G28" s="7" t="s">
        <v>15</v>
      </c>
      <c r="H28" s="8" t="s">
        <v>16</v>
      </c>
      <c r="I28" s="6" t="s">
        <v>124</v>
      </c>
    </row>
    <row r="29" ht="24.0" customHeight="1">
      <c r="A29" s="4">
        <v>26.0</v>
      </c>
      <c r="B29" s="6" t="s">
        <v>125</v>
      </c>
      <c r="C29" s="6" t="s">
        <v>126</v>
      </c>
      <c r="D29" s="6" t="s">
        <v>127</v>
      </c>
      <c r="E29" s="6" t="s">
        <v>128</v>
      </c>
      <c r="F29" s="9" t="s">
        <v>45</v>
      </c>
      <c r="G29" s="7" t="s">
        <v>129</v>
      </c>
      <c r="H29" s="11" t="s">
        <v>130</v>
      </c>
      <c r="I29" s="6" t="s">
        <v>131</v>
      </c>
    </row>
    <row r="30" ht="24.0" customHeight="1">
      <c r="A30" s="4">
        <v>27.0</v>
      </c>
      <c r="B30" s="6" t="s">
        <v>125</v>
      </c>
      <c r="C30" s="6" t="s">
        <v>132</v>
      </c>
      <c r="D30" s="6" t="s">
        <v>133</v>
      </c>
      <c r="E30" s="6" t="s">
        <v>134</v>
      </c>
      <c r="F30" s="9" t="s">
        <v>45</v>
      </c>
      <c r="G30" s="7" t="s">
        <v>15</v>
      </c>
      <c r="H30" s="8" t="s">
        <v>16</v>
      </c>
      <c r="I30" s="6" t="s">
        <v>135</v>
      </c>
    </row>
    <row r="31" ht="24.0" customHeight="1">
      <c r="A31" s="4">
        <v>28.0</v>
      </c>
      <c r="B31" s="6" t="s">
        <v>125</v>
      </c>
      <c r="C31" s="6" t="s">
        <v>136</v>
      </c>
      <c r="D31" s="6" t="s">
        <v>137</v>
      </c>
      <c r="E31" s="6" t="s">
        <v>138</v>
      </c>
      <c r="F31" s="9" t="s">
        <v>26</v>
      </c>
      <c r="G31" s="7" t="s">
        <v>15</v>
      </c>
      <c r="H31" s="8" t="s">
        <v>16</v>
      </c>
      <c r="I31" s="6" t="s">
        <v>139</v>
      </c>
    </row>
    <row r="32" ht="24.0" customHeight="1">
      <c r="A32" s="4">
        <v>29.0</v>
      </c>
      <c r="B32" s="6" t="s">
        <v>140</v>
      </c>
      <c r="C32" s="6" t="s">
        <v>141</v>
      </c>
      <c r="D32" s="6" t="s">
        <v>142</v>
      </c>
      <c r="E32" s="6" t="s">
        <v>143</v>
      </c>
      <c r="F32" s="9" t="s">
        <v>63</v>
      </c>
      <c r="G32" s="7" t="s">
        <v>15</v>
      </c>
      <c r="H32" s="8" t="s">
        <v>16</v>
      </c>
      <c r="I32" s="6" t="s">
        <v>144</v>
      </c>
    </row>
    <row r="33" ht="24.0" customHeight="1">
      <c r="A33" s="4">
        <v>30.0</v>
      </c>
      <c r="B33" s="6" t="s">
        <v>140</v>
      </c>
      <c r="C33" s="6" t="s">
        <v>145</v>
      </c>
      <c r="D33" s="6" t="s">
        <v>146</v>
      </c>
      <c r="E33" s="6" t="s">
        <v>147</v>
      </c>
      <c r="F33" s="9" t="s">
        <v>63</v>
      </c>
      <c r="G33" s="7" t="s">
        <v>15</v>
      </c>
      <c r="H33" s="8" t="s">
        <v>16</v>
      </c>
      <c r="I33" s="6" t="s">
        <v>148</v>
      </c>
    </row>
    <row r="34" ht="24.0" customHeight="1">
      <c r="A34" s="4">
        <v>31.0</v>
      </c>
      <c r="B34" s="6" t="s">
        <v>140</v>
      </c>
      <c r="C34" s="6" t="s">
        <v>149</v>
      </c>
      <c r="D34" s="6" t="s">
        <v>150</v>
      </c>
      <c r="E34" s="6" t="s">
        <v>151</v>
      </c>
      <c r="F34" s="9" t="s">
        <v>152</v>
      </c>
      <c r="G34" s="7" t="s">
        <v>15</v>
      </c>
      <c r="H34" s="8" t="s">
        <v>16</v>
      </c>
      <c r="I34" s="6" t="s">
        <v>153</v>
      </c>
    </row>
    <row r="35" ht="24.0" customHeight="1">
      <c r="A35" s="4">
        <v>32.0</v>
      </c>
      <c r="B35" s="6" t="s">
        <v>154</v>
      </c>
      <c r="C35" s="6" t="s">
        <v>155</v>
      </c>
      <c r="D35" s="6" t="s">
        <v>156</v>
      </c>
      <c r="E35" s="6" t="s">
        <v>157</v>
      </c>
      <c r="F35" s="9" t="s">
        <v>40</v>
      </c>
      <c r="G35" s="7" t="s">
        <v>158</v>
      </c>
      <c r="H35" s="8" t="s">
        <v>159</v>
      </c>
      <c r="I35" s="6" t="s">
        <v>160</v>
      </c>
    </row>
    <row r="36" ht="24.0" customHeight="1">
      <c r="A36" s="4">
        <v>33.0</v>
      </c>
      <c r="B36" s="6" t="s">
        <v>154</v>
      </c>
      <c r="C36" s="6" t="s">
        <v>161</v>
      </c>
      <c r="D36" s="6" t="s">
        <v>162</v>
      </c>
      <c r="E36" s="6" t="s">
        <v>163</v>
      </c>
      <c r="F36" s="9" t="s">
        <v>40</v>
      </c>
      <c r="G36" s="7" t="s">
        <v>158</v>
      </c>
      <c r="H36" s="8" t="s">
        <v>159</v>
      </c>
      <c r="I36" s="6" t="s">
        <v>164</v>
      </c>
    </row>
    <row r="37" ht="24.0" customHeight="1">
      <c r="A37" s="4">
        <v>34.0</v>
      </c>
      <c r="B37" s="6" t="s">
        <v>154</v>
      </c>
      <c r="C37" s="6" t="s">
        <v>165</v>
      </c>
      <c r="D37" s="6" t="s">
        <v>166</v>
      </c>
      <c r="E37" s="6" t="s">
        <v>167</v>
      </c>
      <c r="F37" s="6" t="s">
        <v>168</v>
      </c>
      <c r="G37" s="7" t="s">
        <v>158</v>
      </c>
      <c r="H37" s="8" t="s">
        <v>159</v>
      </c>
      <c r="I37" s="6" t="s">
        <v>169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1:I1"/>
    <mergeCell ref="B2:I2"/>
  </mergeCells>
  <dataValidations>
    <dataValidation type="list" allowBlank="1" showErrorMessage="1" sqref="G4:G6 F7:G7 G8:G37">
      <formula1>"Must have,Should have,Nice to have"</formula1>
    </dataValidation>
    <dataValidation type="list" allowBlank="1" showErrorMessage="1" sqref="F4:F6 F8:F36">
      <formula1>"Эцэг эх,Хүүхэд,Систем,Контент баг,Систем+Контент баг,Эцэг эх+Хүүхэд"</formula1>
    </dataValidation>
    <dataValidation type="list" allowBlank="1" showErrorMessage="1" sqref="H4:H28 H30:H37">
      <formula1>"In Scope,Out of Scope"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5.57"/>
    <col customWidth="1" min="3" max="3" width="60.43"/>
    <col customWidth="1" min="4" max="5" width="14.0"/>
    <col customWidth="1" min="6" max="6" width="30.0"/>
    <col customWidth="1" min="7" max="26" width="8.71"/>
  </cols>
  <sheetData>
    <row r="1">
      <c r="A1" s="12" t="s">
        <v>170</v>
      </c>
    </row>
    <row r="2">
      <c r="A2" s="13" t="s">
        <v>171</v>
      </c>
    </row>
    <row r="4">
      <c r="A4" s="14" t="s">
        <v>172</v>
      </c>
      <c r="B4" s="14" t="s">
        <v>173</v>
      </c>
      <c r="C4" s="14" t="s">
        <v>174</v>
      </c>
      <c r="D4" s="14" t="s">
        <v>175</v>
      </c>
      <c r="E4" s="14" t="s">
        <v>176</v>
      </c>
      <c r="F4" s="14" t="s">
        <v>177</v>
      </c>
    </row>
    <row r="5">
      <c r="A5" s="10" t="s">
        <v>15</v>
      </c>
      <c r="B5" s="15" t="s">
        <v>178</v>
      </c>
      <c r="C5" s="15" t="s">
        <v>179</v>
      </c>
      <c r="D5" s="16">
        <f>COUNTIF('MVP_Фичерүүд'!G:G,"Заавал")</f>
        <v>0</v>
      </c>
      <c r="E5" s="17">
        <f>D5/COUNTA('MVP_Фичерүүд'!C:C)</f>
        <v>0</v>
      </c>
      <c r="F5" s="15" t="s">
        <v>180</v>
      </c>
    </row>
    <row r="6">
      <c r="A6" s="10" t="s">
        <v>129</v>
      </c>
      <c r="B6" s="15" t="s">
        <v>181</v>
      </c>
      <c r="C6" s="15" t="s">
        <v>182</v>
      </c>
      <c r="D6" s="16">
        <f>COUNTIF('MVP_Фичерүүд'!G:G,"Байвал сайн")</f>
        <v>0</v>
      </c>
      <c r="E6" s="17">
        <f>D6/COUNTA('MVP_Фичерүүд'!C:C)</f>
        <v>0</v>
      </c>
      <c r="F6" s="15" t="s">
        <v>183</v>
      </c>
    </row>
    <row r="7">
      <c r="A7" s="10" t="s">
        <v>158</v>
      </c>
      <c r="B7" s="15" t="s">
        <v>184</v>
      </c>
      <c r="C7" s="15" t="s">
        <v>185</v>
      </c>
      <c r="D7" s="16">
        <f>COUNTIF('MVP_Фичерүүд'!G:G,"Дараа")</f>
        <v>0</v>
      </c>
      <c r="E7" s="17">
        <f>D7/COUNTA('MVP_Фичерүүд'!C:C)</f>
        <v>0</v>
      </c>
      <c r="F7" s="15" t="s">
        <v>186</v>
      </c>
    </row>
    <row r="9">
      <c r="A9" s="18" t="s">
        <v>187</v>
      </c>
      <c r="B9" s="19"/>
      <c r="C9" s="19"/>
      <c r="D9" s="19"/>
      <c r="E9" s="19"/>
      <c r="F9" s="20"/>
    </row>
    <row r="10">
      <c r="A10" s="21" t="s">
        <v>188</v>
      </c>
      <c r="B10" s="21" t="s">
        <v>189</v>
      </c>
      <c r="C10" s="21" t="s">
        <v>175</v>
      </c>
    </row>
    <row r="11">
      <c r="A11" s="22" t="s">
        <v>190</v>
      </c>
      <c r="B11" s="22" t="s">
        <v>191</v>
      </c>
      <c r="C11" s="22">
        <f>COUNTIF('MVP_Фичерүүд'!H:H,"Оруулсан")</f>
        <v>0</v>
      </c>
    </row>
    <row r="12">
      <c r="A12" s="22" t="s">
        <v>130</v>
      </c>
      <c r="B12" s="22" t="s">
        <v>192</v>
      </c>
      <c r="C12" s="22">
        <f>COUNTIF('MVP_Фичерүүд'!H:H,"Хялбаршуулсан")</f>
        <v>1</v>
      </c>
    </row>
    <row r="13">
      <c r="A13" s="22" t="s">
        <v>193</v>
      </c>
      <c r="B13" s="22" t="s">
        <v>194</v>
      </c>
      <c r="C13" s="22">
        <f>COUNTIF('MVP_Фичерүүд'!H:H,"Хассан")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9:F9"/>
  </mergeCells>
  <dataValidations>
    <dataValidation type="list" allowBlank="1" showErrorMessage="1" sqref="A5:A7">
      <formula1>"Must have,Should have,Nice to have"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30.0"/>
    <col customWidth="1" min="4" max="4" width="40.0"/>
    <col customWidth="1" min="5" max="5" width="18.0"/>
    <col customWidth="1" min="6" max="6" width="24.0"/>
    <col customWidth="1" min="7" max="7" width="18.0"/>
    <col customWidth="1" min="8" max="26" width="8.71"/>
  </cols>
  <sheetData>
    <row r="1">
      <c r="A1" s="12" t="s">
        <v>195</v>
      </c>
    </row>
    <row r="2">
      <c r="A2" s="13" t="s">
        <v>196</v>
      </c>
    </row>
    <row r="4">
      <c r="A4" s="14" t="s">
        <v>197</v>
      </c>
      <c r="B4" s="14" t="s">
        <v>198</v>
      </c>
      <c r="C4" s="14" t="s">
        <v>199</v>
      </c>
      <c r="D4" s="14" t="s">
        <v>200</v>
      </c>
      <c r="E4" s="14" t="s">
        <v>201</v>
      </c>
      <c r="F4" s="14" t="s">
        <v>202</v>
      </c>
      <c r="G4" s="14" t="s">
        <v>7</v>
      </c>
    </row>
    <row r="5">
      <c r="A5" s="15">
        <v>1.0</v>
      </c>
      <c r="B5" s="15" t="s">
        <v>203</v>
      </c>
      <c r="C5" s="15" t="s">
        <v>204</v>
      </c>
      <c r="D5" s="15" t="s">
        <v>205</v>
      </c>
      <c r="E5" s="15" t="s">
        <v>206</v>
      </c>
      <c r="F5" s="15" t="s">
        <v>207</v>
      </c>
      <c r="G5" s="10" t="s">
        <v>15</v>
      </c>
    </row>
    <row r="6">
      <c r="A6" s="15">
        <v>2.0</v>
      </c>
      <c r="B6" s="15" t="s">
        <v>22</v>
      </c>
      <c r="C6" s="15" t="s">
        <v>208</v>
      </c>
      <c r="D6" s="15" t="s">
        <v>209</v>
      </c>
      <c r="E6" s="15" t="s">
        <v>210</v>
      </c>
      <c r="F6" s="15" t="s">
        <v>211</v>
      </c>
      <c r="G6" s="10" t="s">
        <v>15</v>
      </c>
    </row>
    <row r="7">
      <c r="A7" s="15">
        <v>3.0</v>
      </c>
      <c r="B7" s="15" t="s">
        <v>212</v>
      </c>
      <c r="C7" s="15" t="s">
        <v>213</v>
      </c>
      <c r="D7" s="15" t="s">
        <v>214</v>
      </c>
      <c r="E7" s="15" t="s">
        <v>215</v>
      </c>
      <c r="F7" s="15" t="s">
        <v>216</v>
      </c>
      <c r="G7" s="10" t="s">
        <v>15</v>
      </c>
    </row>
    <row r="8">
      <c r="A8" s="15">
        <v>4.0</v>
      </c>
      <c r="B8" s="15" t="s">
        <v>217</v>
      </c>
      <c r="C8" s="15" t="s">
        <v>218</v>
      </c>
      <c r="D8" s="15" t="s">
        <v>219</v>
      </c>
      <c r="E8" s="15" t="s">
        <v>220</v>
      </c>
      <c r="F8" s="15" t="s">
        <v>221</v>
      </c>
      <c r="G8" s="10" t="s">
        <v>15</v>
      </c>
    </row>
    <row r="9">
      <c r="A9" s="15">
        <v>5.0</v>
      </c>
      <c r="B9" s="15" t="s">
        <v>222</v>
      </c>
      <c r="C9" s="15" t="s">
        <v>223</v>
      </c>
      <c r="D9" s="15" t="s">
        <v>224</v>
      </c>
      <c r="E9" s="15" t="s">
        <v>225</v>
      </c>
      <c r="F9" s="15" t="s">
        <v>226</v>
      </c>
      <c r="G9" s="10" t="s">
        <v>15</v>
      </c>
    </row>
    <row r="10">
      <c r="A10" s="15">
        <v>6.0</v>
      </c>
      <c r="B10" s="15" t="s">
        <v>227</v>
      </c>
      <c r="C10" s="15" t="s">
        <v>228</v>
      </c>
      <c r="D10" s="15" t="s">
        <v>229</v>
      </c>
      <c r="E10" s="15" t="s">
        <v>230</v>
      </c>
      <c r="F10" s="15" t="s">
        <v>231</v>
      </c>
      <c r="G10" s="23" t="s">
        <v>232</v>
      </c>
    </row>
    <row r="11">
      <c r="A11" s="15">
        <v>7.0</v>
      </c>
      <c r="B11" s="15" t="s">
        <v>233</v>
      </c>
      <c r="C11" s="15" t="s">
        <v>234</v>
      </c>
      <c r="D11" s="15" t="s">
        <v>235</v>
      </c>
      <c r="E11" s="15" t="s">
        <v>236</v>
      </c>
      <c r="F11" s="15" t="s">
        <v>237</v>
      </c>
      <c r="G11" s="10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conditionalFormatting sqref="A5:A11">
    <cfRule type="cellIs" dxfId="4" priority="1" operator="lessThanOrEqual">
      <formula>6</formula>
    </cfRule>
  </conditionalFormatting>
  <dataValidations>
    <dataValidation type="list" allowBlank="1" showErrorMessage="1" sqref="G5:G9 G11">
      <formula1>"Must have,Should have,Nice to have"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26" width="8.71"/>
  </cols>
  <sheetData>
    <row r="1">
      <c r="A1" s="14" t="s">
        <v>238</v>
      </c>
      <c r="B1" s="14" t="s">
        <v>239</v>
      </c>
    </row>
    <row r="2">
      <c r="A2" s="24" t="s">
        <v>240</v>
      </c>
      <c r="B2" s="25" t="s">
        <v>241</v>
      </c>
    </row>
    <row r="3">
      <c r="A3" s="24" t="s">
        <v>242</v>
      </c>
      <c r="B3" s="25" t="s">
        <v>243</v>
      </c>
    </row>
    <row r="4">
      <c r="A4" s="24" t="s">
        <v>29</v>
      </c>
      <c r="B4" s="25" t="s">
        <v>244</v>
      </c>
    </row>
    <row r="5">
      <c r="A5" s="24" t="s">
        <v>38</v>
      </c>
      <c r="B5" s="25" t="s">
        <v>245</v>
      </c>
    </row>
    <row r="6">
      <c r="A6" s="24" t="s">
        <v>246</v>
      </c>
      <c r="B6" s="25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2026-04-03T03:31:04Z</dcterms:created>
  <dc:creator>openpyxl</dc:creator>
</cp:coreProperties>
</file>